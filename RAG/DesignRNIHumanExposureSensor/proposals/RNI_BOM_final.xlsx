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2026" sheetId="1" r:id="rId5"/>
    <sheet state="visible" name="Agosto2026" sheetId="2" r:id="rId6"/>
  </sheets>
  <definedNames/>
  <calcPr/>
</workbook>
</file>

<file path=xl/sharedStrings.xml><?xml version="1.0" encoding="utf-8"?>
<sst xmlns="http://schemas.openxmlformats.org/spreadsheetml/2006/main" count="103" uniqueCount="58">
  <si>
    <t>Precio</t>
  </si>
  <si>
    <t>Parte</t>
  </si>
  <si>
    <t>Descripción</t>
  </si>
  <si>
    <t>Cantidad</t>
  </si>
  <si>
    <t>Link</t>
  </si>
  <si>
    <t>B206mini-i + Discrete triaxial antenna array</t>
  </si>
  <si>
    <t>BBP-100+</t>
  </si>
  <si>
    <t>(102M, BW 30M) filter</t>
  </si>
  <si>
    <t>https://www.digikey.com/en/products/detail/mini-circuits/BBP-100/26740316</t>
  </si>
  <si>
    <t>Precio Unitario</t>
  </si>
  <si>
    <t xml:space="preserve">VBF-2450+ </t>
  </si>
  <si>
    <t>(2450M, BW 150M) filter</t>
  </si>
  <si>
    <t>https://www.digikey.com/en/products/detail/mini-circuits/VBF-2450/27669500</t>
  </si>
  <si>
    <t xml:space="preserve">EV1HMC241AQS16 </t>
  </si>
  <si>
    <t>(0Hz ~ 3.5G) RF switch</t>
  </si>
  <si>
    <t>https://www.digikey.com/en/products/detail/analog-devices-inc/EV1HMC241AQS16/5403560?s=N4IgTCBcDaIBIFkDCYAsBGAggRQMroDYBREAXQF8g</t>
  </si>
  <si>
    <t>VBFZ-925-S+</t>
  </si>
  <si>
    <t>925MHz Center Frequency Band Pass RF Filter (Radio Frequency) 250MHz Bandwidth 1.64dB SMA In-Line Module</t>
  </si>
  <si>
    <t>https://www.digikey.com/en/products/detail/mini-circuits/VBFZ-925-S/16682693</t>
  </si>
  <si>
    <t>TOTAL</t>
  </si>
  <si>
    <t>VBFZ-3590-S+</t>
  </si>
  <si>
    <t>3.59GHz Center Frequency Band Pass RF Filter (Radio Frequency) 1.3GHz Bandwidth 2.4dB Inline, SMA Connection, F and M</t>
  </si>
  <si>
    <t>https://www.digikey.com/en/products/detail/mini-circuits/VBFZ-3590-S/20526938</t>
  </si>
  <si>
    <t>2.45GHz Center Frequency Band Pass RF Filter (Radio Frequency) 150MHz Bandwidth 4dB SMA In-Line Module</t>
  </si>
  <si>
    <t>VBFZ-5500-S+</t>
  </si>
  <si>
    <t>Bandpass filter 4.9 GHz to 6.2 GHz SMA / RoHS</t>
  </si>
  <si>
    <t>https://www.mouser.com/en/ProductDetail/Mini-Circuits/VBFZ-5500-S%2b?qs=xZ%2FP%252Ba9zWqYgsgq4t1Wz3Q%3D%3D</t>
  </si>
  <si>
    <t>SKY13322-375LF-EVB</t>
  </si>
  <si>
    <t>SKY13322-375LF - Switch 100MHz ~ 6GHz Evaluation Board</t>
  </si>
  <si>
    <t>https://www.digikey.com/en/products/detail/skyworks-solutions-inc/SKY13322-375LF-EVB/2356519</t>
  </si>
  <si>
    <t>Hosyond LCD Display</t>
  </si>
  <si>
    <t>Capacitive Screen HDMI Monitor for Raspberry Pi5/Pi4/Pi3/ZERO W, BB Black, Windows 10 8 7</t>
  </si>
  <si>
    <t>https://www.amazon.com/-/es/Hosyond-pantalla-pulgadas-capacitiva-Raspberry/dp/B09XKC53NH/ref=sr_1_4?adgrpid=77344325909&amp;dib=eyJ2IjoiMSJ9.3XhBnE1rKm4uP9Mrq7UXiP6Cn20ZrAgxKnk7aaQGB3XGPyLG0jYuqYf-EG-2dtbDySyPF3HwB6Yp1wMw6RFpUb_x0qbJwrD-60srK5PPJ7bTN7k-q8q63ZXm3H2OKU19mXLd8q_YfCjqoCCEELcmpCJLiz6g_q6RrkFefEf4tT2IDECRJrMJseTqJ37n4-74NhzvSvSUY4Usbq2b5TunjRpMmaz3cT8a5vhZidtWAmQ.RgsZ2Qj_zQfZ3NDaqOvy2cb2ToO1Hsp63yPj0nkyv7U&amp;dib_tag=se&amp;hvadid=673176966901&amp;hvdev=c&amp;hvlocphy=9222214&amp;hvnetw=g&amp;hvqmt=e&amp;hvrand=8774406237724262974&amp;hvtargid=kwd-635589181157&amp;hydadcr=941_1015168484&amp;keywords=waveshare%2B7inch%2Bhdmi%2Blcd&amp;mcid=a4986d241c0e379fbcf0c31b30e93e7c&amp;qid=1787668030&amp;sr=8-4&amp;th=1</t>
  </si>
  <si>
    <t>USRP B206mini-i</t>
  </si>
  <si>
    <t>NI Ettus USRP B206mini-i: 1x1, 70MHz-6GHz SDR/Cognitive Radio</t>
  </si>
  <si>
    <t>https://digilent.com/shop/ni-ettus-usrp-b206mini-i-1x1-70mhz-6ghz-sdr-cognitive-radio/</t>
  </si>
  <si>
    <t>UPS Module (C)</t>
  </si>
  <si>
    <t>Uninterruptible Power Supply UPS Module (C) For Jetson Orin, Supports 21700 Li battery (NOT included), Pogo Pins Connector</t>
  </si>
  <si>
    <t>https://www.waveshare.com/ups-power-module-c.htm</t>
  </si>
  <si>
    <t>Samsung Battery</t>
  </si>
  <si>
    <t>Battery 21700 Rechargable 5000mah 3.7v</t>
  </si>
  <si>
    <t>https://www.mercadolibre.com.co/1-x-bateria-de-litio-samsung-21700-recargable-5000mah-37v/p/MCO2084532948?pdp_filters=item_id%3AMCO2882494216&amp;from=gshop&amp;matt_tool=54388304&amp;matt_word=&amp;matt_source=google&amp;matt_campaign_id=22126928555&amp;matt_ad_group_id=171342892057&amp;matt_match_type=&amp;matt_network=g&amp;matt_device=c&amp;matt_creative=729836841823&amp;matt_keyword=&amp;matt_ad_position=&amp;matt_ad_type=pla&amp;matt_merchant_id=735122983&amp;matt_product_id=MCO2084532948-product&amp;matt_product_partition_id=2495843089619&amp;matt_target_id=pla-2495843089619&amp;cq_src=google_ads&amp;cq_cmp=22126928555&amp;cq_net=g&amp;cq_plt=gp&amp;cq_med=pla</t>
  </si>
  <si>
    <t>TG.66.A113</t>
  </si>
  <si>
    <t>RF ANTENNA 3G, 4G, 5G, LTE, Wi-Fi Whip, Tilt SMA Male Connector Mount</t>
  </si>
  <si>
    <t>https://www.digikey.com/en/products/detail/taoglas-limited/TG-66-A113/15771160</t>
  </si>
  <si>
    <t>2467938-1</t>
  </si>
  <si>
    <t>Terminator Coax Connector Plug, Male Pin SMA 50 Ohms</t>
  </si>
  <si>
    <t>https://www.digikey.com/en/products/detail/te-connectivity-linx/2467938-1/22535225</t>
  </si>
  <si>
    <t>Jetson Orin Nano 8GB</t>
  </si>
  <si>
    <t>NVIDIA Jetson Orin Nano Super Developer Kit</t>
  </si>
  <si>
    <t>https://www.amazon.com/NVIDIA-Jetson-Orin-Nano-Developer/dp/B0BZJTQ5YP/ref=sr_1_1?adgrpid=169389685668&amp;currency=USD&amp;hvadid=696167339026&amp;hvdev=c&amp;hvlocphy=9261643&amp;hvnetw=g&amp;hvqmt=b&amp;hvrand=12003363420694777760&amp;hvtargid=kwd-1872127311582&amp;hydadcr=945_1015168489&amp;mcid=5a1593ee0ab23fe4bf498aff2d63c38e&amp;sr=8-1</t>
  </si>
  <si>
    <t>B206mini-i + Isotropic atenna embedded mux</t>
  </si>
  <si>
    <t>IsoLOG® 3D Mobile 9060 PRO</t>
  </si>
  <si>
    <t>Isotropic RF antenna</t>
  </si>
  <si>
    <t>https://aaronia.com/es/portable-isotropic-antenna-pro-version</t>
  </si>
  <si>
    <t>HackRF One</t>
  </si>
  <si>
    <t>Software Defined Radio peripheral capable of transmission or reception of radio signals from 1 MHz to 6 GHz</t>
  </si>
  <si>
    <t>https://www.astroradio.com/en/p/hackrf-one/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</si>
</sst>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222222"/>
      <name val="Arial"/>
      <scheme val="minor"/>
    </font>
    <font>
      <sz val="12.0"/>
      <color rgb="FF333333"/>
      <name val="Arial"/>
      <scheme val="minor"/>
    </font>
    <font>
      <sz val="10.0"/>
      <color theme="1"/>
      <name val="Arial"/>
    </font>
    <font/>
    <font>
      <u/>
      <sz val="12.0"/>
      <color rgb="FF0000FF"/>
    </font>
    <font>
      <u/>
      <sz val="12.0"/>
      <color rgb="FF0000FF"/>
    </font>
    <font>
      <sz val="12.0"/>
      <color rgb="FF222222"/>
      <name val="Roboto"/>
    </font>
    <font>
      <u/>
      <sz val="12.0"/>
      <color rgb="FF0000FF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</font>
    <font>
      <color rgb="FF0F1111"/>
      <name val="Arial"/>
    </font>
    <font>
      <sz val="11.0"/>
      <color theme="1"/>
      <name val="&quot;Amazon Ember&quot;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&quot;Amazon Ember&quot;"/>
    </font>
    <font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right" readingOrder="0" shrinkToFit="0" wrapText="0"/>
    </xf>
    <xf borderId="0" fillId="2" fontId="3" numFmtId="0" xfId="0" applyAlignment="1" applyFill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4" numFmtId="0" xfId="0" applyFont="1"/>
    <xf borderId="0" fillId="0" fontId="6" numFmtId="0" xfId="0" applyAlignment="1" applyFont="1">
      <alignment readingOrder="0" vertical="bottom"/>
    </xf>
    <xf borderId="0" fillId="2" fontId="2" numFmtId="164" xfId="0" applyAlignment="1" applyFill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4" fillId="3" fontId="4" numFmtId="164" xfId="0" applyAlignment="1" applyBorder="1" applyFill="1" applyFont="1" applyNumberFormat="1">
      <alignment horizontal="left" readingOrder="0" shrinkToFit="0" wrapText="0"/>
    </xf>
    <xf borderId="4" fillId="3" fontId="4" numFmtId="0" xfId="0" applyAlignment="1" applyBorder="1" applyFill="1" applyFont="1">
      <alignment readingOrder="0"/>
    </xf>
    <xf borderId="0" fillId="0" fontId="7" numFmtId="0" xfId="0" applyAlignment="1" applyFont="1">
      <alignment vertical="bottom"/>
    </xf>
    <xf borderId="0" fillId="2" fontId="8" numFmtId="164" xfId="0" applyAlignment="1" applyFill="1" applyFont="1" applyNumberFormat="1">
      <alignment horizontal="right" readingOrder="0" shrinkToFit="0" wrapText="0"/>
    </xf>
    <xf borderId="0" fillId="0" fontId="9" numFmtId="0" xfId="0" applyAlignment="1" applyFont="1">
      <alignment readingOrder="0" vertical="bottom"/>
    </xf>
    <xf borderId="0" fillId="0" fontId="1" numFmtId="0" xfId="0" applyFont="1"/>
    <xf borderId="0" fillId="0" fontId="1" numFmtId="164" xfId="0" applyFont="1" applyNumberFormat="1"/>
    <xf borderId="4" fillId="3" fontId="10" numFmtId="0" xfId="0" applyAlignment="1" applyBorder="1" applyFill="1" applyFont="1">
      <alignment readingOrder="0"/>
    </xf>
    <xf borderId="0" fillId="3" fontId="4" numFmtId="0" xfId="0" applyFill="1" applyFont="1"/>
    <xf borderId="4" fillId="3" fontId="11" numFmtId="0" xfId="0" applyAlignment="1" applyBorder="1" applyFill="1" applyFont="1">
      <alignment readingOrder="0" vertical="bottom"/>
    </xf>
    <xf borderId="4" fillId="3" fontId="4" numFmtId="0" xfId="0" applyAlignment="1" applyBorder="1" applyFill="1" applyFont="1">
      <alignment horizontal="left" readingOrder="0"/>
    </xf>
    <xf borderId="4" fillId="3" fontId="12" numFmtId="0" xfId="0" applyAlignment="1" applyBorder="1" applyFill="1" applyFont="1">
      <alignment readingOrder="0" vertical="bottom"/>
    </xf>
    <xf borderId="4" fillId="2" fontId="4" numFmtId="164" xfId="0" applyAlignment="1" applyBorder="1" applyFill="1" applyFont="1" applyNumberFormat="1">
      <alignment horizontal="left" readingOrder="0" shrinkToFit="0" wrapText="0"/>
    </xf>
    <xf borderId="4" fillId="2" fontId="13" numFmtId="0" xfId="0" applyAlignment="1" applyBorder="1" applyFill="1" applyFont="1">
      <alignment readingOrder="0"/>
    </xf>
    <xf borderId="4" fillId="2" fontId="14" numFmtId="0" xfId="0" applyAlignment="1" applyBorder="1" applyFill="1" applyFont="1">
      <alignment readingOrder="0"/>
    </xf>
    <xf borderId="4" fillId="0" fontId="15" numFmtId="0" xfId="0" applyAlignment="1" applyBorder="1" applyFont="1">
      <alignment readingOrder="0"/>
    </xf>
    <xf borderId="4" fillId="4" fontId="4" numFmtId="164" xfId="0" applyAlignment="1" applyBorder="1" applyFill="1" applyFont="1" applyNumberFormat="1">
      <alignment horizontal="left" readingOrder="0" shrinkToFit="0" wrapText="0"/>
    </xf>
    <xf borderId="4" fillId="4" fontId="4" numFmtId="0" xfId="0" applyAlignment="1" applyBorder="1" applyFill="1" applyFont="1">
      <alignment readingOrder="0"/>
    </xf>
    <xf borderId="4" fillId="4" fontId="16" numFmtId="0" xfId="0" applyAlignment="1" applyBorder="1" applyFill="1" applyFont="1">
      <alignment readingOrder="0"/>
    </xf>
    <xf borderId="0" fillId="4" fontId="4" numFmtId="0" xfId="0" applyFill="1" applyFont="1"/>
    <xf borderId="4" fillId="0" fontId="4" numFmtId="164" xfId="0" applyAlignment="1" applyBorder="1" applyFont="1" applyNumberFormat="1">
      <alignment readingOrder="0"/>
    </xf>
    <xf borderId="4" fillId="5" fontId="4" numFmtId="164" xfId="0" applyAlignment="1" applyBorder="1" applyFill="1" applyFont="1" applyNumberFormat="1">
      <alignment horizontal="left" readingOrder="0" shrinkToFit="0" wrapText="0"/>
    </xf>
    <xf borderId="4" fillId="5" fontId="4" numFmtId="0" xfId="0" applyAlignment="1" applyBorder="1" applyFill="1" applyFont="1">
      <alignment readingOrder="0"/>
    </xf>
    <xf borderId="4" fillId="5" fontId="17" numFmtId="0" xfId="0" applyAlignment="1" applyBorder="1" applyFill="1" applyFont="1">
      <alignment readingOrder="0"/>
    </xf>
    <xf borderId="0" fillId="5" fontId="4" numFmtId="0" xfId="0" applyFill="1" applyFont="1"/>
    <xf borderId="4" fillId="6" fontId="4" numFmtId="164" xfId="0" applyAlignment="1" applyBorder="1" applyFill="1" applyFont="1" applyNumberFormat="1">
      <alignment horizontal="left" readingOrder="0" shrinkToFit="0" wrapText="0"/>
    </xf>
    <xf borderId="4" fillId="6" fontId="4" numFmtId="0" xfId="0" applyAlignment="1" applyBorder="1" applyFill="1" applyFont="1">
      <alignment readingOrder="0"/>
    </xf>
    <xf borderId="0" fillId="6" fontId="18" numFmtId="0" xfId="0" applyAlignment="1" applyFill="1" applyFont="1">
      <alignment readingOrder="0"/>
    </xf>
    <xf borderId="4" fillId="6" fontId="19" numFmtId="0" xfId="0" applyAlignment="1" applyBorder="1" applyFill="1" applyFont="1">
      <alignment readingOrder="0"/>
    </xf>
    <xf borderId="0" fillId="6" fontId="4" numFmtId="0" xfId="0" applyFill="1" applyFont="1"/>
    <xf borderId="4" fillId="0" fontId="4" numFmtId="0" xfId="0" applyBorder="1" applyFont="1"/>
    <xf borderId="4" fillId="0" fontId="4" numFmtId="164" xfId="0" applyBorder="1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mini-circuits/BBP-100/26740316" TargetMode="External"/><Relationship Id="rId2" Type="http://schemas.openxmlformats.org/officeDocument/2006/relationships/hyperlink" Target="https://www.digikey.com/en/products/detail/mini-circuits/VBF-2450/27669500" TargetMode="External"/><Relationship Id="rId3" Type="http://schemas.openxmlformats.org/officeDocument/2006/relationships/hyperlink" Target="https://www.digikey.com/en/products/detail/analog-devices-inc/EV1HMC241AQS16/5403560?s=N4IgTCBcDaIBIFkDCYAsBGAggRQMroDYBREAXQF8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waveshare.com/ups-power-module-c.htm" TargetMode="External"/><Relationship Id="rId22" Type="http://schemas.openxmlformats.org/officeDocument/2006/relationships/hyperlink" Target="https://aaronia.com/es/portable-isotropic-antenna-pro-version" TargetMode="External"/><Relationship Id="rId21" Type="http://schemas.openxmlformats.org/officeDocument/2006/relationships/hyperlink" Target="https://www.mercadolibre.com.co/1-x-bateria-de-litio-samsung-21700-recargable-5000mah-37v/p/MCO2084532948?pdp_filters=item_id%3AMCO2882494216&amp;from=gshop&amp;matt_tool=54388304&amp;matt_word=&amp;matt_source=google&amp;matt_campaign_id=22126928555&amp;matt_ad_group_id=171342892057&amp;matt_match_type=&amp;matt_network=g&amp;matt_device=c&amp;matt_creative=729836841823&amp;matt_keyword=&amp;matt_ad_position=&amp;matt_ad_type=pla&amp;matt_merchant_id=735122983&amp;matt_product_id=MCO2084532948-product&amp;matt_product_partition_id=2495843089619&amp;matt_target_id=pla-2495843089619&amp;cq_src=google_ads&amp;cq_cmp=22126928555&amp;cq_net=g&amp;cq_plt=gp&amp;cq_med=pla" TargetMode="External"/><Relationship Id="rId24" Type="http://schemas.openxmlformats.org/officeDocument/2006/relationships/hyperlink" Target="https://www.astroradio.com/en/p/hackrf-one/" TargetMode="External"/><Relationship Id="rId23" Type="http://schemas.openxmlformats.org/officeDocument/2006/relationships/hyperlink" Target="https://www.amazon.com/NVIDIA-Jetson-Orin-Nano-Developer/dp/B0BZJTQ5YP/ref=sr_1_1?adgrpid=169389685668&amp;currency=USD&amp;hvadid=696167339026&amp;hvdev=c&amp;hvlocphy=9261643&amp;hvnetw=g&amp;hvqmt=b&amp;hvrand=12003363420694777760&amp;hvtargid=kwd-1872127311582&amp;hydadcr=945_1015168489&amp;mcid=5a1593ee0ab23fe4bf498aff2d63c38e&amp;sr=8-1" TargetMode="External"/><Relationship Id="rId1" Type="http://schemas.openxmlformats.org/officeDocument/2006/relationships/hyperlink" Target="https://www.digikey.com/en/products/detail/mini-circuits/VBFZ-925-S/16682693" TargetMode="External"/><Relationship Id="rId2" Type="http://schemas.openxmlformats.org/officeDocument/2006/relationships/hyperlink" Target="https://www.digikey.com/en/products/detail/mini-circuits/VBFZ-3590-S/20526938" TargetMode="External"/><Relationship Id="rId3" Type="http://schemas.openxmlformats.org/officeDocument/2006/relationships/hyperlink" Target="https://www.digikey.com/en/products/detail/mini-circuits/VBF-2450/27669500" TargetMode="External"/><Relationship Id="rId4" Type="http://schemas.openxmlformats.org/officeDocument/2006/relationships/hyperlink" Target="https://www.mouser.com/en/ProductDetail/Mini-Circuits/VBFZ-5500-S%2b?qs=xZ%2FP%252Ba9zWqYgsgq4t1Wz3Q%3D%3D" TargetMode="External"/><Relationship Id="rId9" Type="http://schemas.openxmlformats.org/officeDocument/2006/relationships/hyperlink" Target="https://www.mercadolibre.com.co/1-x-bateria-de-litio-samsung-21700-recargable-5000mah-37v/p/MCO2084532948?pdp_filters=item_id%3AMCO2882494216&amp;from=gshop&amp;matt_tool=54388304&amp;matt_word=&amp;matt_source=google&amp;matt_campaign_id=22126928555&amp;matt_ad_group_id=171342892057&amp;matt_match_type=&amp;matt_network=g&amp;matt_device=c&amp;matt_creative=729836841823&amp;matt_keyword=&amp;matt_ad_position=&amp;matt_ad_type=pla&amp;matt_merchant_id=735122983&amp;matt_product_id=MCO2084532948-product&amp;matt_product_partition_id=2495843089619&amp;matt_target_id=pla-2495843089619&amp;cq_src=google_ads&amp;cq_cmp=22126928555&amp;cq_net=g&amp;cq_plt=gp&amp;cq_med=pla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www.digikey.com/en/products/detail/skyworks-solutions-inc/SKY13322-375LF-EVB/2356519" TargetMode="External"/><Relationship Id="rId6" Type="http://schemas.openxmlformats.org/officeDocument/2006/relationships/hyperlink" Target="https://www.amazon.com/-/es/Hosyond-pantalla-pulgadas-capacitiva-Raspberry/dp/B09XKC53NH/ref=sr_1_4?adgrpid=77344325909&amp;dib=eyJ2IjoiMSJ9.3XhBnE1rKm4uP9Mrq7UXiP6Cn20ZrAgxKnk7aaQGB3XGPyLG0jYuqYf-EG-2dtbDySyPF3HwB6Yp1wMw6RFpUb_x0qbJwrD-60srK5PPJ7bTN7k-q8q63ZXm3H2OKU19mXLd8q_YfCjqoCCEELcmpCJLiz6g_q6RrkFefEf4tT2IDECRJrMJseTqJ37n4-74NhzvSvSUY4Usbq2b5TunjRpMmaz3cT8a5vhZidtWAmQ.RgsZ2Qj_zQfZ3NDaqOvy2cb2ToO1Hsp63yPj0nkyv7U&amp;dib_tag=se&amp;hvadid=673176966901&amp;hvdev=c&amp;hvlocphy=9222214&amp;hvnetw=g&amp;hvqmt=e&amp;hvrand=8774406237724262974&amp;hvtargid=kwd-635589181157&amp;hydadcr=941_1015168484&amp;keywords=waveshare%2B7inch%2Bhdmi%2Blcd&amp;mcid=a4986d241c0e379fbcf0c31b30e93e7c&amp;qid=1787668030&amp;sr=8-4&amp;th=1" TargetMode="External"/><Relationship Id="rId7" Type="http://schemas.openxmlformats.org/officeDocument/2006/relationships/hyperlink" Target="https://digilent.com/shop/ni-ettus-usrp-b206mini-i-1x1-70mhz-6ghz-sdr-cognitive-radio/" TargetMode="External"/><Relationship Id="rId8" Type="http://schemas.openxmlformats.org/officeDocument/2006/relationships/hyperlink" Target="https://www.waveshare.com/ups-power-module-c.htm" TargetMode="External"/><Relationship Id="rId11" Type="http://schemas.openxmlformats.org/officeDocument/2006/relationships/hyperlink" Target="https://www.digikey.com/en/products/detail/te-connectivity-linx/2467938-1/22535225" TargetMode="External"/><Relationship Id="rId10" Type="http://schemas.openxmlformats.org/officeDocument/2006/relationships/hyperlink" Target="https://www.digikey.com/en/products/detail/taoglas-limited/TG-66-A113/15771160" TargetMode="External"/><Relationship Id="rId13" Type="http://schemas.openxmlformats.org/officeDocument/2006/relationships/hyperlink" Target="https://www.digikey.com/en/products/detail/mini-circuits/VBFZ-925-S/16682693" TargetMode="External"/><Relationship Id="rId12" Type="http://schemas.openxmlformats.org/officeDocument/2006/relationships/hyperlink" Target="https://www.amazon.com/NVIDIA-Jetson-Orin-Nano-Developer/dp/B0BZJTQ5YP/ref=sr_1_1?adgrpid=169389685668&amp;currency=USD&amp;hvadid=696167339026&amp;hvdev=c&amp;hvlocphy=9261643&amp;hvnetw=g&amp;hvqmt=b&amp;hvrand=12003363420694777760&amp;hvtargid=kwd-1872127311582&amp;hydadcr=945_1015168489&amp;mcid=5a1593ee0ab23fe4bf498aff2d63c38e&amp;sr=8-1" TargetMode="External"/><Relationship Id="rId15" Type="http://schemas.openxmlformats.org/officeDocument/2006/relationships/hyperlink" Target="https://www.digikey.com/en/products/detail/mini-circuits/VBF-2450/27669500" TargetMode="External"/><Relationship Id="rId14" Type="http://schemas.openxmlformats.org/officeDocument/2006/relationships/hyperlink" Target="https://www.digikey.com/en/products/detail/mini-circuits/VBFZ-3590-S/20526938" TargetMode="External"/><Relationship Id="rId17" Type="http://schemas.openxmlformats.org/officeDocument/2006/relationships/hyperlink" Target="https://www.digikey.com/en/products/detail/skyworks-solutions-inc/SKY13322-375LF-EVB/2356519" TargetMode="External"/><Relationship Id="rId16" Type="http://schemas.openxmlformats.org/officeDocument/2006/relationships/hyperlink" Target="https://www.mouser.com/en/ProductDetail/Mini-Circuits/VBFZ-5500-S%2b?qs=xZ%2FP%252Ba9zWqYgsgq4t1Wz3Q%3D%3D" TargetMode="External"/><Relationship Id="rId19" Type="http://schemas.openxmlformats.org/officeDocument/2006/relationships/hyperlink" Target="https://digilent.com/shop/ni-ettus-usrp-b206mini-i-1x1-70mhz-6ghz-sdr-cognitive-radio/" TargetMode="External"/><Relationship Id="rId18" Type="http://schemas.openxmlformats.org/officeDocument/2006/relationships/hyperlink" Target="https://www.amazon.com/-/es/Hosyond-pantalla-pulgadas-capacitiva-Raspberry/dp/B09XKC53NH/ref=sr_1_4?adgrpid=77344325909&amp;dib=eyJ2IjoiMSJ9.3XhBnE1rKm4uP9Mrq7UXiP6Cn20ZrAgxKnk7aaQGB3XGPyLG0jYuqYf-EG-2dtbDySyPF3HwB6Yp1wMw6RFpUb_x0qbJwrD-60srK5PPJ7bTN7k-q8q63ZXm3H2OKU19mXLd8q_YfCjqoCCEELcmpCJLiz6g_q6RrkFefEf4tT2IDECRJrMJseTqJ37n4-74NhzvSvSUY4Usbq2b5TunjRpMmaz3cT8a5vhZidtWAmQ.RgsZ2Qj_zQfZ3NDaqOvy2cb2ToO1Hsp63yPj0nkyv7U&amp;dib_tag=se&amp;hvadid=673176966901&amp;hvdev=c&amp;hvlocphy=9222214&amp;hvnetw=g&amp;hvqmt=e&amp;hvrand=8774406237724262974&amp;hvtargid=kwd-635589181157&amp;hydadcr=941_1015168484&amp;keywords=waveshare%2B7inch%2Bhdmi%2Blcd&amp;mcid=a4986d241c0e379fbcf0c31b30e93e7c&amp;qid=1787668030&amp;sr=8-4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6.75"/>
    <col customWidth="1" min="3" max="3" width="34.0"/>
    <col customWidth="1" min="5" max="5" width="1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76.34</v>
      </c>
      <c r="B2" s="3" t="s">
        <v>6</v>
      </c>
      <c r="C2" s="1" t="s">
        <v>7</v>
      </c>
      <c r="D2" s="1">
        <v>1.0</v>
      </c>
      <c r="E2" s="8" t="s">
        <v>8</v>
      </c>
    </row>
    <row r="3">
      <c r="A3" s="9">
        <v>56.83</v>
      </c>
      <c r="B3" s="11" t="s">
        <v>10</v>
      </c>
      <c r="C3" s="1" t="s">
        <v>11</v>
      </c>
      <c r="D3" s="1">
        <v>1.0</v>
      </c>
      <c r="E3" s="8" t="s">
        <v>12</v>
      </c>
    </row>
    <row r="4">
      <c r="A4" s="9">
        <v>146.03</v>
      </c>
      <c r="B4" s="11" t="s">
        <v>13</v>
      </c>
      <c r="C4" s="1" t="s">
        <v>14</v>
      </c>
      <c r="D4" s="1">
        <v>2.0</v>
      </c>
      <c r="E4" s="14" t="s">
        <v>15</v>
      </c>
    </row>
    <row r="5">
      <c r="A5" s="15"/>
      <c r="B5" s="11"/>
      <c r="C5" s="1"/>
      <c r="D5" s="1"/>
      <c r="E5" s="16"/>
    </row>
    <row r="6">
      <c r="A6" s="17"/>
      <c r="B6" s="17"/>
      <c r="C6" s="17"/>
      <c r="D6" s="17"/>
      <c r="E6" s="17"/>
    </row>
    <row r="7">
      <c r="A7" s="17"/>
      <c r="B7" s="17"/>
      <c r="C7" s="17"/>
      <c r="D7" s="17"/>
      <c r="E7" s="17"/>
    </row>
    <row r="8">
      <c r="A8" s="18">
        <f>SUM(A2:A4)</f>
        <v>279.2</v>
      </c>
      <c r="B8" s="1" t="s">
        <v>19</v>
      </c>
      <c r="C8" s="17"/>
      <c r="D8" s="17"/>
      <c r="E8" s="17"/>
    </row>
    <row r="9">
      <c r="A9" s="17"/>
      <c r="B9" s="17"/>
      <c r="C9" s="17"/>
      <c r="D9" s="17"/>
      <c r="E9" s="17"/>
    </row>
    <row r="10">
      <c r="A10" s="17"/>
      <c r="B10" s="17"/>
      <c r="C10" s="17"/>
      <c r="D10" s="17"/>
      <c r="E10" s="17"/>
    </row>
    <row r="11">
      <c r="A11" s="17"/>
      <c r="B11" s="17"/>
      <c r="C11" s="17"/>
      <c r="D11" s="17"/>
      <c r="E11" s="17"/>
    </row>
    <row r="12">
      <c r="A12" s="17"/>
      <c r="B12" s="17"/>
      <c r="C12" s="17"/>
      <c r="D12" s="17"/>
      <c r="E12" s="17"/>
    </row>
    <row r="13">
      <c r="A13" s="17"/>
      <c r="B13" s="17"/>
      <c r="C13" s="17"/>
      <c r="D13" s="17"/>
      <c r="E13" s="17"/>
    </row>
    <row r="14">
      <c r="A14" s="17"/>
      <c r="B14" s="17"/>
      <c r="C14" s="17"/>
      <c r="D14" s="17"/>
      <c r="E14" s="17"/>
    </row>
    <row r="15">
      <c r="A15" s="17"/>
      <c r="B15" s="17"/>
      <c r="C15" s="17"/>
      <c r="D15" s="17"/>
      <c r="E15" s="17"/>
    </row>
    <row r="16">
      <c r="A16" s="17"/>
      <c r="B16" s="17"/>
      <c r="C16" s="17"/>
      <c r="D16" s="17"/>
      <c r="E16" s="17"/>
    </row>
    <row r="17">
      <c r="A17" s="17"/>
      <c r="B17" s="17"/>
      <c r="C17" s="17"/>
      <c r="D17" s="17"/>
      <c r="E17" s="17"/>
    </row>
  </sheetData>
  <hyperlinks>
    <hyperlink r:id="rId1" ref="E2"/>
    <hyperlink r:id="rId2" ref="E3"/>
    <hyperlink r:id="rId3" ref="E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9.63"/>
    <col customWidth="1" min="3" max="3" width="8.25"/>
    <col customWidth="1" min="4" max="4" width="20.25"/>
    <col customWidth="1" min="5" max="5" width="95.88"/>
    <col customWidth="1" min="6" max="6" width="104.13"/>
  </cols>
  <sheetData>
    <row r="1">
      <c r="A1" s="4" t="s">
        <v>5</v>
      </c>
      <c r="B1" s="5"/>
      <c r="C1" s="5"/>
      <c r="D1" s="5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0" t="s">
        <v>9</v>
      </c>
      <c r="B2" s="10" t="s">
        <v>0</v>
      </c>
      <c r="C2" s="10" t="s">
        <v>3</v>
      </c>
      <c r="D2" s="10" t="s">
        <v>1</v>
      </c>
      <c r="E2" s="10" t="s">
        <v>2</v>
      </c>
      <c r="F2" s="10" t="s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2">
        <v>66.84</v>
      </c>
      <c r="B3" s="12">
        <f t="shared" ref="B3:B16" si="1">A3*C3</f>
        <v>66.84</v>
      </c>
      <c r="C3" s="13">
        <v>1.0</v>
      </c>
      <c r="D3" s="13" t="s">
        <v>16</v>
      </c>
      <c r="E3" s="13" t="s">
        <v>17</v>
      </c>
      <c r="F3" s="19" t="s">
        <v>18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2">
        <v>66.84</v>
      </c>
      <c r="B4" s="12">
        <f t="shared" si="1"/>
        <v>66.84</v>
      </c>
      <c r="C4" s="13">
        <v>1.0</v>
      </c>
      <c r="D4" s="13" t="s">
        <v>20</v>
      </c>
      <c r="E4" s="13" t="s">
        <v>21</v>
      </c>
      <c r="F4" s="19" t="s">
        <v>22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2">
        <v>57.5</v>
      </c>
      <c r="B5" s="12">
        <f t="shared" si="1"/>
        <v>57.5</v>
      </c>
      <c r="C5" s="13">
        <v>1.0</v>
      </c>
      <c r="D5" s="13" t="s">
        <v>10</v>
      </c>
      <c r="E5" s="13" t="s">
        <v>23</v>
      </c>
      <c r="F5" s="21" t="s">
        <v>12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12">
        <v>76.39</v>
      </c>
      <c r="B6" s="12">
        <f t="shared" si="1"/>
        <v>76.39</v>
      </c>
      <c r="C6" s="13">
        <v>1.0</v>
      </c>
      <c r="D6" s="13" t="s">
        <v>24</v>
      </c>
      <c r="E6" s="22" t="s">
        <v>25</v>
      </c>
      <c r="F6" s="19" t="s">
        <v>26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2">
        <v>108.93</v>
      </c>
      <c r="B7" s="12">
        <f t="shared" si="1"/>
        <v>326.79</v>
      </c>
      <c r="C7" s="13">
        <v>3.0</v>
      </c>
      <c r="D7" s="13" t="s">
        <v>27</v>
      </c>
      <c r="E7" s="13" t="s">
        <v>28</v>
      </c>
      <c r="F7" s="23" t="s">
        <v>29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4">
        <v>45.99</v>
      </c>
      <c r="B8" s="24">
        <f t="shared" si="1"/>
        <v>45.99</v>
      </c>
      <c r="C8" s="10">
        <v>1.0</v>
      </c>
      <c r="D8" s="25" t="s">
        <v>30</v>
      </c>
      <c r="E8" s="26" t="s">
        <v>31</v>
      </c>
      <c r="F8" s="27" t="s">
        <v>32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28">
        <v>1599.0</v>
      </c>
      <c r="B9" s="28">
        <f t="shared" si="1"/>
        <v>1599</v>
      </c>
      <c r="C9" s="29">
        <v>1.0</v>
      </c>
      <c r="D9" s="29" t="s">
        <v>33</v>
      </c>
      <c r="E9" s="29" t="s">
        <v>34</v>
      </c>
      <c r="F9" s="30" t="s">
        <v>35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4">
        <v>24.99</v>
      </c>
      <c r="B10" s="24">
        <f t="shared" si="1"/>
        <v>24.99</v>
      </c>
      <c r="C10" s="10">
        <v>1.0</v>
      </c>
      <c r="D10" s="32" t="s">
        <v>36</v>
      </c>
      <c r="E10" s="10" t="s">
        <v>37</v>
      </c>
      <c r="F10" s="27" t="s">
        <v>38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24">
        <v>15.0</v>
      </c>
      <c r="B11" s="24">
        <f t="shared" si="1"/>
        <v>45</v>
      </c>
      <c r="C11" s="10">
        <v>3.0</v>
      </c>
      <c r="D11" s="10" t="s">
        <v>39</v>
      </c>
      <c r="E11" s="10" t="s">
        <v>40</v>
      </c>
      <c r="F11" s="27" t="s">
        <v>41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3">
        <v>19.41</v>
      </c>
      <c r="B12" s="33">
        <f t="shared" si="1"/>
        <v>58.23</v>
      </c>
      <c r="C12" s="34">
        <v>3.0</v>
      </c>
      <c r="D12" s="34" t="s">
        <v>42</v>
      </c>
      <c r="E12" s="34" t="s">
        <v>43</v>
      </c>
      <c r="F12" s="35" t="s">
        <v>44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33">
        <v>2.78</v>
      </c>
      <c r="B13" s="33">
        <f t="shared" si="1"/>
        <v>2.78</v>
      </c>
      <c r="C13" s="34">
        <v>1.0</v>
      </c>
      <c r="D13" s="34" t="s">
        <v>45</v>
      </c>
      <c r="E13" s="34" t="s">
        <v>46</v>
      </c>
      <c r="F13" s="35" t="s">
        <v>47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>
      <c r="A14" s="37">
        <v>479.99</v>
      </c>
      <c r="B14" s="37">
        <f t="shared" si="1"/>
        <v>479.99</v>
      </c>
      <c r="C14" s="38">
        <v>1.0</v>
      </c>
      <c r="D14" s="38" t="s">
        <v>48</v>
      </c>
      <c r="E14" s="39" t="s">
        <v>49</v>
      </c>
      <c r="F14" s="40" t="s">
        <v>50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>
      <c r="A15" s="24"/>
      <c r="B15" s="24">
        <f t="shared" si="1"/>
        <v>0</v>
      </c>
      <c r="C15" s="42"/>
      <c r="D15" s="42"/>
      <c r="E15" s="10"/>
      <c r="F15" s="4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24"/>
      <c r="B16" s="24">
        <f t="shared" si="1"/>
        <v>0</v>
      </c>
      <c r="C16" s="42"/>
      <c r="D16" s="42"/>
      <c r="E16" s="10"/>
      <c r="F16" s="42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0" t="s">
        <v>19</v>
      </c>
      <c r="B17" s="43">
        <f>SUM(B3:B16)</f>
        <v>2850.34</v>
      </c>
      <c r="C17" s="42"/>
      <c r="D17" s="42"/>
      <c r="E17" s="42"/>
      <c r="F17" s="42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4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" t="s">
        <v>51</v>
      </c>
      <c r="B20" s="5"/>
      <c r="C20" s="5"/>
      <c r="D20" s="5"/>
      <c r="E20" s="5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0" t="s">
        <v>9</v>
      </c>
      <c r="B21" s="10" t="s">
        <v>0</v>
      </c>
      <c r="C21" s="10" t="s">
        <v>3</v>
      </c>
      <c r="D21" s="10" t="s">
        <v>1</v>
      </c>
      <c r="E21" s="10" t="s">
        <v>2</v>
      </c>
      <c r="F21" s="10" t="s">
        <v>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2">
        <v>66.84</v>
      </c>
      <c r="B22" s="12">
        <f t="shared" ref="B22:B34" si="2">A22*C22</f>
        <v>66.84</v>
      </c>
      <c r="C22" s="13">
        <v>1.0</v>
      </c>
      <c r="D22" s="13" t="s">
        <v>16</v>
      </c>
      <c r="E22" s="13" t="s">
        <v>17</v>
      </c>
      <c r="F22" s="19" t="s">
        <v>18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12">
        <v>66.84</v>
      </c>
      <c r="B23" s="12">
        <f t="shared" si="2"/>
        <v>66.84</v>
      </c>
      <c r="C23" s="13">
        <v>1.0</v>
      </c>
      <c r="D23" s="13" t="s">
        <v>20</v>
      </c>
      <c r="E23" s="13" t="s">
        <v>21</v>
      </c>
      <c r="F23" s="19" t="s">
        <v>22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12">
        <v>57.5</v>
      </c>
      <c r="B24" s="12">
        <f t="shared" si="2"/>
        <v>57.5</v>
      </c>
      <c r="C24" s="13">
        <v>1.0</v>
      </c>
      <c r="D24" s="13" t="s">
        <v>10</v>
      </c>
      <c r="E24" s="13" t="s">
        <v>23</v>
      </c>
      <c r="F24" s="21" t="s">
        <v>12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12">
        <v>76.39</v>
      </c>
      <c r="B25" s="12">
        <f t="shared" si="2"/>
        <v>76.39</v>
      </c>
      <c r="C25" s="13">
        <v>1.0</v>
      </c>
      <c r="D25" s="13" t="s">
        <v>24</v>
      </c>
      <c r="E25" s="22" t="s">
        <v>25</v>
      </c>
      <c r="F25" s="19" t="s">
        <v>26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12">
        <v>108.93</v>
      </c>
      <c r="B26" s="12">
        <f t="shared" si="2"/>
        <v>217.86</v>
      </c>
      <c r="C26" s="13">
        <v>2.0</v>
      </c>
      <c r="D26" s="13" t="s">
        <v>27</v>
      </c>
      <c r="E26" s="13" t="s">
        <v>28</v>
      </c>
      <c r="F26" s="23" t="s">
        <v>29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4">
        <v>45.99</v>
      </c>
      <c r="B27" s="24">
        <f t="shared" si="2"/>
        <v>45.99</v>
      </c>
      <c r="C27" s="10">
        <v>1.0</v>
      </c>
      <c r="D27" s="25" t="s">
        <v>30</v>
      </c>
      <c r="E27" s="26" t="s">
        <v>31</v>
      </c>
      <c r="F27" s="27" t="s">
        <v>32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28">
        <v>1599.0</v>
      </c>
      <c r="B28" s="28">
        <f t="shared" si="2"/>
        <v>1599</v>
      </c>
      <c r="C28" s="29">
        <v>1.0</v>
      </c>
      <c r="D28" s="29" t="s">
        <v>33</v>
      </c>
      <c r="E28" s="29" t="s">
        <v>34</v>
      </c>
      <c r="F28" s="30" t="s">
        <v>35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24">
        <v>24.99</v>
      </c>
      <c r="B29" s="24">
        <f t="shared" si="2"/>
        <v>24.99</v>
      </c>
      <c r="C29" s="10">
        <v>1.0</v>
      </c>
      <c r="D29" s="32" t="s">
        <v>36</v>
      </c>
      <c r="E29" s="10" t="s">
        <v>37</v>
      </c>
      <c r="F29" s="27" t="s">
        <v>38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24">
        <v>15.0</v>
      </c>
      <c r="B30" s="24">
        <f t="shared" si="2"/>
        <v>45</v>
      </c>
      <c r="C30" s="10">
        <v>3.0</v>
      </c>
      <c r="D30" s="10" t="s">
        <v>39</v>
      </c>
      <c r="E30" s="10" t="s">
        <v>40</v>
      </c>
      <c r="F30" s="27" t="s">
        <v>41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33">
        <v>2326.72</v>
      </c>
      <c r="B31" s="33">
        <f t="shared" si="2"/>
        <v>2326.72</v>
      </c>
      <c r="C31" s="34">
        <v>1.0</v>
      </c>
      <c r="D31" s="34" t="s">
        <v>52</v>
      </c>
      <c r="E31" s="34" t="s">
        <v>53</v>
      </c>
      <c r="F31" s="35" t="s">
        <v>54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37">
        <v>479.99</v>
      </c>
      <c r="B32" s="37">
        <f t="shared" si="2"/>
        <v>479.99</v>
      </c>
      <c r="C32" s="38">
        <v>1.0</v>
      </c>
      <c r="D32" s="38" t="s">
        <v>48</v>
      </c>
      <c r="E32" s="39" t="s">
        <v>49</v>
      </c>
      <c r="F32" s="40" t="s">
        <v>50</v>
      </c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>
      <c r="A33" s="24"/>
      <c r="B33" s="24">
        <f t="shared" si="2"/>
        <v>0</v>
      </c>
      <c r="C33" s="42"/>
      <c r="D33" s="42"/>
      <c r="E33" s="10"/>
      <c r="F33" s="42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24"/>
      <c r="B34" s="24">
        <f t="shared" si="2"/>
        <v>0</v>
      </c>
      <c r="C34" s="42"/>
      <c r="D34" s="42"/>
      <c r="E34" s="10"/>
      <c r="F34" s="42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0" t="s">
        <v>19</v>
      </c>
      <c r="B35" s="43">
        <f>SUM(B22:B34)</f>
        <v>5007.12</v>
      </c>
      <c r="C35" s="42"/>
      <c r="D35" s="42"/>
      <c r="E35" s="42"/>
      <c r="F35" s="42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4">
        <v>309.99</v>
      </c>
      <c r="B44" s="24">
        <f>A44*C44</f>
        <v>309.99</v>
      </c>
      <c r="C44" s="10">
        <v>1.0</v>
      </c>
      <c r="D44" s="10" t="s">
        <v>55</v>
      </c>
      <c r="E44" s="10" t="s">
        <v>56</v>
      </c>
      <c r="F44" s="27" t="s">
        <v>57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</sheetData>
  <mergeCells count="2">
    <mergeCell ref="A1:F1"/>
    <mergeCell ref="A20:F20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44"/>
  </hyperlinks>
  <drawing r:id="rId25"/>
</worksheet>
</file>